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68c253a8eb45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ed694fdc574573"/>
    <x:sheet xmlns:r="http://schemas.openxmlformats.org/officeDocument/2006/relationships" name="Asset_List" sheetId="2" r:id="R8f5ab4d749f04487"/>
    <x:sheet xmlns:r="http://schemas.openxmlformats.org/officeDocument/2006/relationships" name="Field_Guide" sheetId="3" r:id="R2b2856c29bdf44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  <x:font>
      <x:sz val="11"/>
      <x:color rgb="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E3A8A"/>
      </x:patternFill>
    </x:fill>
    <x:fill>
      <x:patternFill patternType="solid">
        <x:fgColor rgb="DBEAFE"/>
      </x:patternFill>
    </x:fill>
    <x:fill>
      <x:patternFill patternType="solid">
        <x:fgColor rgb="F8FAFC"/>
      </x:patternFill>
    </x:fill>
  </x:fills>
  <x:borders count="14">
    <x:border/>
    <x:border/>
    <x:border>
      <x:right>
        <x:color rgb="CBD5E1"/>
      </x:right>
      <x:bottom>
        <x:color rgb="CBD5E1"/>
      </x:bottom>
    </x:border>
    <x:border>
      <x:left>
        <x:color rgb="CBD5E1"/>
      </x:left>
      <x:bottom>
        <x:color rgb="CBD5E1"/>
      </x:bottom>
    </x:border>
    <x:border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top>
        <x:color rgb="CBD5E1"/>
      </x:top>
      <x:bottom>
        <x:color rgb="CBD5E1"/>
      </x:bottom>
    </x:border>
    <x:border>
      <x:right>
        <x:color rgb="CBD5E1"/>
      </x:right>
      <x:top>
        <x:color rgb="CBD5E1"/>
      </x:top>
    </x:border>
    <x:border>
      <x:left>
        <x:color rgb="CBD5E1"/>
      </x:left>
      <x:top>
        <x:color rgb="CBD5E1"/>
      </x:top>
    </x:border>
    <x:border>
      <x:right>
        <x:color rgb="CBD5E1"/>
      </x:right>
      <x:bottom>
        <x:color rgb="CBD5E1"/>
      </x:bottom>
    </x:border>
    <x:border>
      <x:left>
        <x:color rgb="CBD5E1"/>
      </x:left>
      <x:bottom>
        <x:color rgb="CBD5E1"/>
      </x:bottom>
    </x:border>
    <x:border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top>
        <x:color rgb="CBD5E1"/>
      </x:top>
      <x:bottom>
        <x:color rgb="CBD5E1"/>
      </x:bottom>
    </x:border>
    <x:border>
      <x:right>
        <x:color rgb="CBD5E1"/>
      </x:right>
      <x:top>
        <x:color rgb="CBD5E1"/>
      </x:top>
    </x:border>
    <x:border>
      <x:left>
        <x:color rgb="CBD5E1"/>
      </x:left>
      <x:top>
        <x:color rgb="CBD5E1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3" fillId="4" borderId="2" xfId="0" applyNumberFormat="1" applyFont="1" applyFill="1" applyBorder="1"/>
    <x:xf numFmtId="0" fontId="4" fillId="5" borderId="3" xfId="0" applyNumberFormat="1" applyFont="1" applyFill="1" applyBorder="1"/>
    <x:xf numFmtId="0" fontId="3" fillId="4" borderId="4" xfId="0" applyNumberFormat="1" applyFont="1" applyFill="1" applyBorder="1"/>
    <x:xf numFmtId="0" fontId="4" fillId="5" borderId="5" xfId="0" applyNumberFormat="1" applyFont="1" applyFill="1" applyBorder="1"/>
    <x:xf numFmtId="0" fontId="3" fillId="4" borderId="6" xfId="0" applyNumberFormat="1" applyFont="1" applyFill="1" applyBorder="1"/>
    <x:xf numFmtId="0" fontId="4" fillId="5" borderId="7" xfId="0" applyNumberFormat="1" applyFont="1" applyFill="1" applyBorder="1"/>
    <x:xf numFmtId="0" fontId="3" fillId="4" borderId="8" xfId="0" applyNumberFormat="1" applyFont="1" applyFill="1" applyBorder="1"/>
    <x:xf numFmtId="0" fontId="4" fillId="5" borderId="9" xfId="0" applyNumberFormat="1" applyFont="1" applyFill="1" applyBorder="1"/>
    <x:xf numFmtId="0" fontId="3" fillId="4" borderId="10" xfId="0" applyNumberFormat="1" applyFont="1" applyFill="1" applyBorder="1"/>
    <x:xf numFmtId="0" fontId="4" fillId="5" borderId="11" xfId="0" applyNumberFormat="1" applyFont="1" applyFill="1" applyBorder="1"/>
    <x:xf numFmtId="0" fontId="3" fillId="4" borderId="12" xfId="0" applyNumberFormat="1" applyFont="1" applyFill="1" applyBorder="1"/>
    <x:xf numFmtId="0" fontId="4" fillId="5" borderId="13" xfId="0" applyNumberFormat="1" applyFont="1" applyFill="1" applyBorder="1"/>
  </x:cellXfs>
  <x:cellStyles count="1">
    <x:cellStyle name="Normal" xfId="0"/>
  </x:cellStyles>
  <x:dxfs count="4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F1239"/>
      </x:font>
      <x:fill>
        <x:patternFill patternType="solid">
          <x:bgColor rgb="FFE4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596c8ed37142ac" /><Relationship Type="http://schemas.openxmlformats.org/officeDocument/2006/relationships/theme" Target="/xl/theme/theme1.xml" Id="Rc241962b715c491b" /><Relationship Type="http://schemas.openxmlformats.org/officeDocument/2006/relationships/sharedStrings" Target="/xl/sharedStrings.xml" Id="R2692ae54a1714b26" /><Relationship Type="http://schemas.openxmlformats.org/officeDocument/2006/relationships/worksheet" Target="/xl/worksheets/sheet1.xml" Id="Rcaed694fdc574573" /><Relationship Type="http://schemas.openxmlformats.org/officeDocument/2006/relationships/worksheet" Target="/xl/worksheets/sheet2.xml" Id="R8f5ab4d749f04487" /><Relationship Type="http://schemas.openxmlformats.org/officeDocument/2006/relationships/worksheet" Target="/xl/worksheets/sheet3.xml" Id="R2b2856c29bdf44ea" /></Relationships>
</file>

<file path=xl/tables/table1.xml><?xml version="1.0" encoding="utf-8"?>
<x:table xmlns:x="http://schemas.openxmlformats.org/spreadsheetml/2006/main" id="2" name="AssetTypeSummaryTable" displayName="AssetTypeSummaryTable" ref="D3:E13" headerRowCount="1">
  <x:tableColumns count="2">
    <x:tableColumn id="1" name="Asset Type"/>
    <x:tableColumn id="2" name="Records"/>
  </x:tableColumns>
  <x:tableStyleInfo name="TableStyleMedium2" showRowStripes="1"/>
</x:table>
</file>

<file path=xl/tables/table2.xml><?xml version="1.0" encoding="utf-8"?>
<x:table xmlns:x="http://schemas.openxmlformats.org/spreadsheetml/2006/main" id="3" name="CriticalitySummaryTable" displayName="CriticalitySummaryTable" ref="G3:H6" headerRowCount="1">
  <x:tableColumns count="2">
    <x:tableColumn id="1" name="Criticality"/>
    <x:tableColumn id="2" name="Records"/>
  </x:tableColumns>
  <x:tableStyleInfo name="TableStyleMedium2" showRowStripes="1"/>
</x:table>
</file>

<file path=xl/tables/table3.xml><?xml version="1.0" encoding="utf-8"?>
<x:table xmlns:x="http://schemas.openxmlformats.org/spreadsheetml/2006/main" id="1" name="AssetInventoryTable" displayName="AssetInventoryTable" ref="A2:L34" headerRowCount="1">
  <x:tableColumns count="12">
    <x:tableColumn id="1" name="ID"/>
    <x:tableColumn id="2" name="Asset Name"/>
    <x:tableColumn id="3" name="Asset Type"/>
    <x:tableColumn id="4" name="Platform / OS"/>
    <x:tableColumn id="5" name="Installed Application Name"/>
    <x:tableColumn id="6" name="Version"/>
    <x:tableColumn id="7" name="Purpose"/>
    <x:tableColumn id="8" name="Environment"/>
    <x:tableColumn id="9" name="Owner / Team"/>
    <x:tableColumn id="10" name="Exposure"/>
    <x:tableColumn id="11" name="Criticality"/>
    <x:tableColumn id="12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FieldGuideTable" displayName="FieldGuideTable" ref="A3:D11" headerRowCount="1">
  <x:tableColumns count="4">
    <x:tableColumn id="1" name="Field"/>
    <x:tableColumn id="2" name="Meaning"/>
    <x:tableColumn id="3" name="Example"/>
    <x:tableColumn id="4" name="Usage in CVE tri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18f6c4b88b4785" /><Relationship Type="http://schemas.openxmlformats.org/officeDocument/2006/relationships/table" Target="/xl/tables/table2.xml" Id="Re1c8f1abad6544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b2174492102b47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c7bcd5fd4d374b1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4" max="4" width="24" hidden="0" customWidth="1"/>
    <x:col min="5" max="5" width="14" hidden="0" customWidth="1"/>
    <x:col min="7" max="7" width="18" hidden="0" customWidth="1"/>
    <x:col min="8" max="8" width="14" hidden="0" customWidth="1"/>
  </x:cols>
  <x:sheetData>
    <x:row r="1" ht="28" customHeight="1">
      <x:c r="A1" s="5" t="str">
        <x:v>cveraptor Dummy Asset List Summary</x:v>
      </x:c>
      <x:c r="B1" s="5"/>
      <x:c r="C1" s="5"/>
      <x:c r="D1" s="5"/>
      <x:c r="E1" s="5"/>
      <x:c r="F1" s="5"/>
      <x:c r="G1" s="5"/>
      <x:c r="H1" s="5"/>
    </x:row>
    <x:row r="3" ht="26" customHeight="1">
      <x:c r="A3" s="32" t="str">
        <x:v>Generated</x:v>
      </x:c>
      <x:c r="B3" s="33" t="str">
        <x:v>2026-05-04 08:50</x:v>
      </x:c>
      <x:c r="D3" s="14" t="str">
        <x:v>Asset Type</x:v>
      </x:c>
      <x:c r="E3" s="14" t="str">
        <x:v>Records</x:v>
      </x:c>
      <x:c r="G3" s="14" t="str">
        <x:v>Criticality</x:v>
      </x:c>
      <x:c r="H3" s="14" t="str">
        <x:v>Records</x:v>
      </x:c>
    </x:row>
    <x:row r="4">
      <x:c r="A4" s="34" t="str">
        <x:v>Total application records</x:v>
      </x:c>
      <x:c r="B4" s="35" t="n">
        <x:f>COUNTA(Asset_List!A3:A34)</x:f>
        <x:v>32</x:v>
      </x:c>
      <x:c r="D4" s="20" t="str">
        <x:v>CI Runner</x:v>
      </x:c>
      <x:c r="E4" s="20" t="n">
        <x:f>COUNTIF(Asset_List!C3:C34,D4)</x:f>
        <x:v>1</x:v>
      </x:c>
      <x:c r="G4" t="str">
        <x:v>High</x:v>
      </x:c>
      <x:c r="H4" t="n">
        <x:f>COUNTIF(Asset_List!K3:K34,G4)</x:f>
        <x:v>15</x:v>
      </x:c>
    </x:row>
    <x:row r="5">
      <x:c r="A5" s="34" t="str">
        <x:v>High criticality records</x:v>
      </x:c>
      <x:c r="B5" s="35" t="n">
        <x:f>COUNTIF(Asset_List!K3:K34,"High")</x:f>
        <x:v>15</x:v>
      </x:c>
      <x:c r="D5" s="20" t="str">
        <x:v>Container Network</x:v>
      </x:c>
      <x:c r="E5" s="20" t="n">
        <x:f>COUNTIF(Asset_List!C3:C34,D5)</x:f>
        <x:v>1</x:v>
      </x:c>
      <x:c r="G5" t="str">
        <x:v>Medium</x:v>
      </x:c>
      <x:c r="H5" t="n">
        <x:f>COUNTIF(Asset_List!K3:K34,G5)</x:f>
        <x:v>16</x:v>
      </x:c>
    </x:row>
    <x:row r="6">
      <x:c r="A6" s="34" t="str">
        <x:v>Outbound/Internet-facing records</x:v>
      </x:c>
      <x:c r="B6" s="35" t="n">
        <x:f>COUNTIF(Asset_List!J3:J34,"Outbound Internet")+COUNTIF(Asset_List!J3:J34,"Internet-facing SaaS")</x:f>
        <x:v>7</x:v>
      </x:c>
      <x:c r="D6" s="20" t="str">
        <x:v>Data File</x:v>
      </x:c>
      <x:c r="E6" s="20" t="n">
        <x:f>COUNTIF(Asset_List!C3:C34,D6)</x:f>
        <x:v>1</x:v>
      </x:c>
      <x:c r="G6" t="str">
        <x:v>Low</x:v>
      </x:c>
      <x:c r="H6" t="n">
        <x:f>COUNTIF(Asset_List!K3:K34,G6)</x:f>
        <x:v>1</x:v>
      </x:c>
    </x:row>
    <x:row r="7">
      <x:c r="A7" s="36" t="str">
        <x:v>Development records</x:v>
      </x:c>
      <x:c r="B7" s="37" t="n">
        <x:f>COUNTIF(Asset_List!H3:H34,"Development")</x:f>
        <x:v>16</x:v>
      </x:c>
      <x:c r="D7" s="20" t="str">
        <x:v>Docker Container</x:v>
      </x:c>
      <x:c r="E7" s="20" t="n">
        <x:f>COUNTIF(Asset_List!C3:C34,D7)</x:f>
        <x:v>8</x:v>
      </x:c>
    </x:row>
    <x:row r="8">
      <x:c r="D8" s="20" t="str">
        <x:v>External API</x:v>
      </x:c>
      <x:c r="E8" s="20" t="n">
        <x:f>COUNTIF(Asset_List!C3:C34,D8)</x:f>
        <x:v>2</x:v>
      </x:c>
    </x:row>
    <x:row r="9">
      <x:c r="D9" s="20" t="str">
        <x:v>External Feed</x:v>
      </x:c>
      <x:c r="E9" s="20" t="n">
        <x:f>COUNTIF(Asset_List!C3:C34,D9)</x:f>
        <x:v>2</x:v>
      </x:c>
    </x:row>
    <x:row r="10">
      <x:c r="D10" s="20" t="str">
        <x:v>SaaS</x:v>
      </x:c>
      <x:c r="E10" s="20" t="n">
        <x:f>COUNTIF(Asset_List!C3:C34,D10)</x:f>
        <x:v>1</x:v>
      </x:c>
    </x:row>
    <x:row r="11">
      <x:c r="D11" s="20" t="str">
        <x:v>Server</x:v>
      </x:c>
      <x:c r="E11" s="20" t="n">
        <x:f>COUNTIF(Asset_List!C3:C34,D11)</x:f>
        <x:v>3</x:v>
      </x:c>
    </x:row>
    <x:row r="12">
      <x:c r="D12" s="20" t="str">
        <x:v>Storage</x:v>
      </x:c>
      <x:c r="E12" s="20" t="n">
        <x:f>COUNTIF(Asset_List!C3:C34,D12)</x:f>
        <x:v>1</x:v>
      </x:c>
    </x:row>
    <x:row r="13">
      <x:c r="D13" s="20" t="str">
        <x:v>Workstation</x:v>
      </x:c>
      <x:c r="E13" s="20" t="n">
        <x:f>COUNTIF(Asset_List!C3:C34,D13)</x:f>
        <x:v>12</x:v>
      </x:c>
    </x:row>
  </x:sheetData>
  <x:mergeCells>
    <x:mergeCell ref="A1:H1"/>
  </x:mergeCells>
  <x:pageMargins left="0.7" right="0.7" top="0.75" bottom="0.75" header="0.3" footer="0.3"/>
  <x:tableParts count="2">
    <x:tablePart xmlns:r="http://schemas.openxmlformats.org/officeDocument/2006/relationships" r:id="R0118f6c4b88b4785"/>
    <x:tablePart xmlns:r="http://schemas.openxmlformats.org/officeDocument/2006/relationships" r:id="Re1c8f1abad6544c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24" hidden="0" customWidth="1"/>
    <x:col min="5" max="5" width="28" hidden="0" customWidth="1"/>
    <x:col min="6" max="6" width="16" hidden="0" customWidth="1"/>
    <x:col min="7" max="7" width="42" hidden="0" customWidth="1"/>
    <x:col min="8" max="8" width="18" hidden="0" customWidth="1"/>
    <x:col min="9" max="9" width="22" hidden="0" customWidth="1"/>
    <x:col min="10" max="10" width="18" hidden="0" customWidth="1"/>
    <x:col min="11" max="11" width="13" hidden="0" customWidth="1"/>
    <x:col min="12" max="12" width="34" hidden="0" customWidth="1"/>
  </x:cols>
  <x:sheetData>
    <x:row r="1" ht="28" customHeight="1">
      <x:c r="A1" s="5" t="str">
        <x:v>Dummy Asset Inventory for cveraptor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6" customHeight="1">
      <x:c r="A2" s="14" t="str">
        <x:v>ID</x:v>
      </x:c>
      <x:c r="B2" s="14" t="str">
        <x:v>Asset Name</x:v>
      </x:c>
      <x:c r="C2" s="14" t="str">
        <x:v>Asset Type</x:v>
      </x:c>
      <x:c r="D2" s="14" t="str">
        <x:v>Platform / OS</x:v>
      </x:c>
      <x:c r="E2" s="14" t="str">
        <x:v>Installed Application Name</x:v>
      </x:c>
      <x:c r="F2" s="14" t="str">
        <x:v>Version</x:v>
      </x:c>
      <x:c r="G2" s="14" t="str">
        <x:v>Purpose</x:v>
      </x:c>
      <x:c r="H2" s="14" t="str">
        <x:v>Environment</x:v>
      </x:c>
      <x:c r="I2" s="14" t="str">
        <x:v>Owner / Team</x:v>
      </x:c>
      <x:c r="J2" s="14" t="str">
        <x:v>Exposure</x:v>
      </x:c>
      <x:c r="K2" s="14" t="str">
        <x:v>Criticality</x:v>
      </x:c>
      <x:c r="L2" s="14" t="str">
        <x:v>Notes</x:v>
      </x:c>
    </x:row>
    <x:row r="3" ht="36" customHeight="1">
      <x:c r="A3" s="22" t="n">
        <x:v>1</x:v>
      </x:c>
      <x:c r="B3" s="20" t="str">
        <x:v>UBU-DEV-01</x:v>
      </x:c>
      <x:c r="C3" s="20" t="str">
        <x:v>Workstation</x:v>
      </x:c>
      <x:c r="D3" s="20" t="str">
        <x:v>Ubuntu 24.04 LTS</x:v>
      </x:c>
      <x:c r="E3" s="20" t="str">
        <x:v>Docker Engine</x:v>
      </x:c>
      <x:c r="F3" s="20" t="str">
        <x:v>27.x</x:v>
      </x:c>
      <x:c r="G3" s="20" t="str">
        <x:v>Run local containers for the CVE intelligence dashboard</x:v>
      </x:c>
      <x:c r="H3" s="22" t="str">
        <x:v>Development</x:v>
      </x:c>
      <x:c r="I3" s="22" t="str">
        <x:v>Security Engineering</x:v>
      </x:c>
      <x:c r="J3" s="22" t="str">
        <x:v>Internal</x:v>
      </x:c>
      <x:c r="K3" s="22" t="str">
        <x:v>High</x:v>
      </x:c>
      <x:c r="L3" s="20" t="str">
        <x:v>Dummy workstation used to host the local Docker stack</x:v>
      </x:c>
    </x:row>
    <x:row r="4" ht="36" customHeight="1">
      <x:c r="A4" s="22" t="n">
        <x:v>2</x:v>
      </x:c>
      <x:c r="B4" s="20" t="str">
        <x:v>UBU-DEV-01</x:v>
      </x:c>
      <x:c r="C4" s="20" t="str">
        <x:v>Workstation</x:v>
      </x:c>
      <x:c r="D4" s="20" t="str">
        <x:v>Ubuntu 24.04 LTS</x:v>
      </x:c>
      <x:c r="E4" s="20" t="str">
        <x:v>Docker Compose v2</x:v>
      </x:c>
      <x:c r="F4" s="20" t="str">
        <x:v>2.x</x:v>
      </x:c>
      <x:c r="G4" s="20" t="str">
        <x:v>Orchestrate frontend and backend services</x:v>
      </x:c>
      <x:c r="H4" s="22" t="str">
        <x:v>Development</x:v>
      </x:c>
      <x:c r="I4" s="22" t="str">
        <x:v>Security Engineering</x:v>
      </x:c>
      <x:c r="J4" s="22" t="str">
        <x:v>Internal</x:v>
      </x:c>
      <x:c r="K4" s="22" t="str">
        <x:v>High</x:v>
      </x:c>
      <x:c r="L4" s="20" t="str">
        <x:v>Used for local cveraptor compose workflow</x:v>
      </x:c>
    </x:row>
    <x:row r="5" ht="36" customHeight="1">
      <x:c r="A5" s="22" t="n">
        <x:v>3</x:v>
      </x:c>
      <x:c r="B5" s="20" t="str">
        <x:v>UBU-DEV-01</x:v>
      </x:c>
      <x:c r="C5" s="20" t="str">
        <x:v>Workstation</x:v>
      </x:c>
      <x:c r="D5" s="20" t="str">
        <x:v>Ubuntu 24.04 LTS</x:v>
      </x:c>
      <x:c r="E5" s="20" t="str">
        <x:v>VS Code</x:v>
      </x:c>
      <x:c r="F5" s="20" t="str">
        <x:v>1.x</x:v>
      </x:c>
      <x:c r="G5" s="20" t="str">
        <x:v>Code editing and project maintenance</x:v>
      </x:c>
      <x:c r="H5" s="22" t="str">
        <x:v>Development</x:v>
      </x:c>
      <x:c r="I5" s="22" t="str">
        <x:v>Security Engineering</x:v>
      </x:c>
      <x:c r="J5" s="22" t="str">
        <x:v>Internal</x:v>
      </x:c>
      <x:c r="K5" s="22" t="str">
        <x:v>Medium</x:v>
      </x:c>
      <x:c r="L5" s="20" t="str">
        <x:v>Developer endpoint application</x:v>
      </x:c>
    </x:row>
    <x:row r="6" ht="36" customHeight="1">
      <x:c r="A6" s="22" t="n">
        <x:v>4</x:v>
      </x:c>
      <x:c r="B6" s="20" t="str">
        <x:v>UBU-DEV-01</x:v>
      </x:c>
      <x:c r="C6" s="20" t="str">
        <x:v>Workstation</x:v>
      </x:c>
      <x:c r="D6" s="20" t="str">
        <x:v>Ubuntu 24.04 LTS</x:v>
      </x:c>
      <x:c r="E6" s="20" t="str">
        <x:v>Firefox</x:v>
      </x:c>
      <x:c r="F6" s="20" t="str">
        <x:v>Current stable</x:v>
      </x:c>
      <x:c r="G6" s="20" t="str">
        <x:v>Access and test the dashboard UI</x:v>
      </x:c>
      <x:c r="H6" s="22" t="str">
        <x:v>Development</x:v>
      </x:c>
      <x:c r="I6" s="22" t="str">
        <x:v>Security Engineering</x:v>
      </x:c>
      <x:c r="J6" s="22" t="str">
        <x:v>Internal</x:v>
      </x:c>
      <x:c r="K6" s="22" t="str">
        <x:v>Medium</x:v>
      </x:c>
      <x:c r="L6" s="20" t="str">
        <x:v>Browser for local testing</x:v>
      </x:c>
    </x:row>
    <x:row r="7" ht="36" customHeight="1">
      <x:c r="A7" s="22" t="n">
        <x:v>5</x:v>
      </x:c>
      <x:c r="B7" s="20" t="str">
        <x:v>UBU-DEV-01</x:v>
      </x:c>
      <x:c r="C7" s="20" t="str">
        <x:v>Workstation</x:v>
      </x:c>
      <x:c r="D7" s="20" t="str">
        <x:v>Ubuntu 24.04 LTS</x:v>
      </x:c>
      <x:c r="E7" s="20" t="str">
        <x:v>LibreOffice Calc</x:v>
      </x:c>
      <x:c r="F7" s="20" t="str">
        <x:v>24.x</x:v>
      </x:c>
      <x:c r="G7" s="20" t="str">
        <x:v>Maintain asset inventory and import/export test data</x:v>
      </x:c>
      <x:c r="H7" s="22" t="str">
        <x:v>Development</x:v>
      </x:c>
      <x:c r="I7" s="22" t="str">
        <x:v>Security Engineering</x:v>
      </x:c>
      <x:c r="J7" s="22" t="str">
        <x:v>Internal</x:v>
      </x:c>
      <x:c r="K7" s="22" t="str">
        <x:v>Medium</x:v>
      </x:c>
      <x:c r="L7" s="20" t="str">
        <x:v>Spreadsheet tool for Ubuntu user workflow</x:v>
      </x:c>
    </x:row>
    <x:row r="8" ht="36" customHeight="1">
      <x:c r="A8" s="22" t="n">
        <x:v>6</x:v>
      </x:c>
      <x:c r="B8" s="20" t="str">
        <x:v>CVERAPTOR-BE-01</x:v>
      </x:c>
      <x:c r="C8" s="20" t="str">
        <x:v>Docker Container</x:v>
      </x:c>
      <x:c r="D8" s="20" t="str">
        <x:v>Python 3.12 slim / Debian</x:v>
      </x:c>
      <x:c r="E8" s="20" t="str">
        <x:v>FastAPI</x:v>
      </x:c>
      <x:c r="F8" s="20" t="str">
        <x:v>0.x</x:v>
      </x:c>
      <x:c r="G8" s="20" t="str">
        <x:v>Expose REST API endpoints for CVE lookup and CVE list pagination</x:v>
      </x:c>
      <x:c r="H8" s="22" t="str">
        <x:v>Development</x:v>
      </x:c>
      <x:c r="I8" s="22" t="str">
        <x:v>Application Team</x:v>
      </x:c>
      <x:c r="J8" s="22" t="str">
        <x:v>Internal</x:v>
      </x:c>
      <x:c r="K8" s="22" t="str">
        <x:v>High</x:v>
      </x:c>
      <x:c r="L8" s="20" t="str">
        <x:v>Backend API service</x:v>
      </x:c>
    </x:row>
    <x:row r="9" ht="36" customHeight="1">
      <x:c r="A9" s="22" t="n">
        <x:v>7</x:v>
      </x:c>
      <x:c r="B9" s="20" t="str">
        <x:v>CVERAPTOR-BE-01</x:v>
      </x:c>
      <x:c r="C9" s="20" t="str">
        <x:v>Docker Container</x:v>
      </x:c>
      <x:c r="D9" s="20" t="str">
        <x:v>Python 3.12 slim / Debian</x:v>
      </x:c>
      <x:c r="E9" s="20" t="str">
        <x:v>Uvicorn</x:v>
      </x:c>
      <x:c r="F9" s="20" t="str">
        <x:v>0.x</x:v>
      </x:c>
      <x:c r="G9" s="20" t="str">
        <x:v>ASGI server for the FastAPI backend</x:v>
      </x:c>
      <x:c r="H9" s="22" t="str">
        <x:v>Development</x:v>
      </x:c>
      <x:c r="I9" s="22" t="str">
        <x:v>Application Team</x:v>
      </x:c>
      <x:c r="J9" s="22" t="str">
        <x:v>Internal</x:v>
      </x:c>
      <x:c r="K9" s="22" t="str">
        <x:v>High</x:v>
      </x:c>
      <x:c r="L9" s="20" t="str">
        <x:v>Runs backend on port 8000</x:v>
      </x:c>
    </x:row>
    <x:row r="10" ht="36" customHeight="1">
      <x:c r="A10" s="22" t="n">
        <x:v>8</x:v>
      </x:c>
      <x:c r="B10" s="20" t="str">
        <x:v>CVERAPTOR-BE-01</x:v>
      </x:c>
      <x:c r="C10" s="20" t="str">
        <x:v>Docker Container</x:v>
      </x:c>
      <x:c r="D10" s="20" t="str">
        <x:v>Python 3.12 slim / Debian</x:v>
      </x:c>
      <x:c r="E10" s="20" t="str">
        <x:v>Requests</x:v>
      </x:c>
      <x:c r="F10" s="20" t="str">
        <x:v>2.x</x:v>
      </x:c>
      <x:c r="G10" s="20" t="str">
        <x:v>Fetch data from NVD, FIRST EPSS, CISA KEV and CISA Vulnrichment</x:v>
      </x:c>
      <x:c r="H10" s="22" t="str">
        <x:v>Development</x:v>
      </x:c>
      <x:c r="I10" s="22" t="str">
        <x:v>Application Team</x:v>
      </x:c>
      <x:c r="J10" s="22" t="str">
        <x:v>Outbound Internet</x:v>
      </x:c>
      <x:c r="K10" s="22" t="str">
        <x:v>High</x:v>
      </x:c>
      <x:c r="L10" s="20" t="str">
        <x:v>Network client library</x:v>
      </x:c>
    </x:row>
    <x:row r="11" ht="36" customHeight="1">
      <x:c r="A11" s="22" t="n">
        <x:v>9</x:v>
      </x:c>
      <x:c r="B11" s="20" t="str">
        <x:v>CVERAPTOR-BE-01</x:v>
      </x:c>
      <x:c r="C11" s="20" t="str">
        <x:v>Docker Container</x:v>
      </x:c>
      <x:c r="D11" s="20" t="str">
        <x:v>Python 3.12 slim / Debian</x:v>
      </x:c>
      <x:c r="E11" s="20" t="str">
        <x:v>python-dotenv</x:v>
      </x:c>
      <x:c r="F11" s="20" t="str">
        <x:v>1.x</x:v>
      </x:c>
      <x:c r="G11" s="20" t="str">
        <x:v>Load configuration values from environment files</x:v>
      </x:c>
      <x:c r="H11" s="22" t="str">
        <x:v>Development</x:v>
      </x:c>
      <x:c r="I11" s="22" t="str">
        <x:v>Application Team</x:v>
      </x:c>
      <x:c r="J11" s="22" t="str">
        <x:v>Internal</x:v>
      </x:c>
      <x:c r="K11" s="22" t="str">
        <x:v>Medium</x:v>
      </x:c>
      <x:c r="L11" s="20" t="str">
        <x:v>Configuration helper</x:v>
      </x:c>
    </x:row>
    <x:row r="12" ht="36" customHeight="1">
      <x:c r="A12" s="22" t="n">
        <x:v>10</x:v>
      </x:c>
      <x:c r="B12" s="20" t="str">
        <x:v>CVERAPTOR-FE-01</x:v>
      </x:c>
      <x:c r="C12" s="20" t="str">
        <x:v>Docker Container</x:v>
      </x:c>
      <x:c r="D12" s="20" t="str">
        <x:v>Node 22 Alpine</x:v>
      </x:c>
      <x:c r="E12" s="20" t="str">
        <x:v>React</x:v>
      </x:c>
      <x:c r="F12" s="20" t="str">
        <x:v>19.2.5</x:v>
      </x:c>
      <x:c r="G12" s="20" t="str">
        <x:v>Render CVE table, filters, search controls and modal details</x:v>
      </x:c>
      <x:c r="H12" s="22" t="str">
        <x:v>Development</x:v>
      </x:c>
      <x:c r="I12" s="22" t="str">
        <x:v>Application Team</x:v>
      </x:c>
      <x:c r="J12" s="22" t="str">
        <x:v>Internal</x:v>
      </x:c>
      <x:c r="K12" s="22" t="str">
        <x:v>High</x:v>
      </x:c>
      <x:c r="L12" s="20" t="str">
        <x:v>Frontend UI library</x:v>
      </x:c>
    </x:row>
    <x:row r="13" ht="36" customHeight="1">
      <x:c r="A13" s="22" t="n">
        <x:v>11</x:v>
      </x:c>
      <x:c r="B13" s="20" t="str">
        <x:v>CVERAPTOR-FE-01</x:v>
      </x:c>
      <x:c r="C13" s="20" t="str">
        <x:v>Docker Container</x:v>
      </x:c>
      <x:c r="D13" s="20" t="str">
        <x:v>Node 22 Alpine</x:v>
      </x:c>
      <x:c r="E13" s="20" t="str">
        <x:v>Vite</x:v>
      </x:c>
      <x:c r="F13" s="20" t="str">
        <x:v>8.0.10</x:v>
      </x:c>
      <x:c r="G13" s="20" t="str">
        <x:v>Frontend development server and build tooling</x:v>
      </x:c>
      <x:c r="H13" s="22" t="str">
        <x:v>Development</x:v>
      </x:c>
      <x:c r="I13" s="22" t="str">
        <x:v>Application Team</x:v>
      </x:c>
      <x:c r="J13" s="22" t="str">
        <x:v>Internal</x:v>
      </x:c>
      <x:c r="K13" s="22" t="str">
        <x:v>High</x:v>
      </x:c>
      <x:c r="L13" s="20" t="str">
        <x:v>Runs development server on container port 5173</x:v>
      </x:c>
    </x:row>
    <x:row r="14" ht="36" customHeight="1">
      <x:c r="A14" s="22" t="n">
        <x:v>12</x:v>
      </x:c>
      <x:c r="B14" s="20" t="str">
        <x:v>CVERAPTOR-FE-01</x:v>
      </x:c>
      <x:c r="C14" s="20" t="str">
        <x:v>Docker Container</x:v>
      </x:c>
      <x:c r="D14" s="20" t="str">
        <x:v>Node 22 Alpine</x:v>
      </x:c>
      <x:c r="E14" s="20" t="str">
        <x:v>npm</x:v>
      </x:c>
      <x:c r="F14" s="20" t="str">
        <x:v>10.x</x:v>
      </x:c>
      <x:c r="G14" s="20" t="str">
        <x:v>Install and manage frontend dependencies</x:v>
      </x:c>
      <x:c r="H14" s="22" t="str">
        <x:v>Development</x:v>
      </x:c>
      <x:c r="I14" s="22" t="str">
        <x:v>Application Team</x:v>
      </x:c>
      <x:c r="J14" s="22" t="str">
        <x:v>Internal</x:v>
      </x:c>
      <x:c r="K14" s="22" t="str">
        <x:v>Medium</x:v>
      </x:c>
      <x:c r="L14" s="20" t="str">
        <x:v>Package manager</x:v>
      </x:c>
    </x:row>
    <x:row r="15" ht="36" customHeight="1">
      <x:c r="A15" s="22" t="n">
        <x:v>13</x:v>
      </x:c>
      <x:c r="B15" s="20" t="str">
        <x:v>CVERAPTOR-FE-01</x:v>
      </x:c>
      <x:c r="C15" s="20" t="str">
        <x:v>Docker Container</x:v>
      </x:c>
      <x:c r="D15" s="20" t="str">
        <x:v>Node 22 Alpine</x:v>
      </x:c>
      <x:c r="E15" s="20" t="str">
        <x:v>ESLint</x:v>
      </x:c>
      <x:c r="F15" s="20" t="str">
        <x:v>10.2.1</x:v>
      </x:c>
      <x:c r="G15" s="20" t="str">
        <x:v>Lint JavaScript and React source code</x:v>
      </x:c>
      <x:c r="H15" s="22" t="str">
        <x:v>Development</x:v>
      </x:c>
      <x:c r="I15" s="22" t="str">
        <x:v>Application Team</x:v>
      </x:c>
      <x:c r="J15" s="22" t="str">
        <x:v>Internal</x:v>
      </x:c>
      <x:c r="K15" s="22" t="str">
        <x:v>Medium</x:v>
      </x:c>
      <x:c r="L15" s="20" t="str">
        <x:v>Code quality tool</x:v>
      </x:c>
    </x:row>
    <x:row r="16" ht="36" customHeight="1">
      <x:c r="A16" s="22" t="n">
        <x:v>14</x:v>
      </x:c>
      <x:c r="B16" s="20" t="str">
        <x:v>DOCKER-NET-01</x:v>
      </x:c>
      <x:c r="C16" s="20" t="str">
        <x:v>Container Network</x:v>
      </x:c>
      <x:c r="D16" s="20" t="str">
        <x:v>Docker bridge network</x:v>
      </x:c>
      <x:c r="E16" s="20" t="str">
        <x:v>Docker Embedded DNS</x:v>
      </x:c>
      <x:c r="F16" s="20" t="str">
        <x:v>Bundled</x:v>
      </x:c>
      <x:c r="G16" s="20" t="str">
        <x:v>Resolve backend and frontend container names</x:v>
      </x:c>
      <x:c r="H16" s="22" t="str">
        <x:v>Development</x:v>
      </x:c>
      <x:c r="I16" s="22" t="str">
        <x:v>Platform Team</x:v>
      </x:c>
      <x:c r="J16" s="22" t="str">
        <x:v>Internal</x:v>
      </x:c>
      <x:c r="K16" s="22" t="str">
        <x:v>Medium</x:v>
      </x:c>
      <x:c r="L16" s="20" t="str">
        <x:v>Service discovery inside Docker Compose</x:v>
      </x:c>
    </x:row>
    <x:row r="17" ht="36" customHeight="1">
      <x:c r="A17" s="22" t="n">
        <x:v>15</x:v>
      </x:c>
      <x:c r="B17" s="20" t="str">
        <x:v>ASSET-LIST-01</x:v>
      </x:c>
      <x:c r="C17" s="20" t="str">
        <x:v>Data File</x:v>
      </x:c>
      <x:c r="D17" s="20" t="str">
        <x:v>LibreOffice Calc compatible</x:v>
      </x:c>
      <x:c r="E17" s="20" t="str">
        <x:v>Asset Inventory Workbook</x:v>
      </x:c>
      <x:c r="F17" s="20" t="str">
        <x:v>v0.1 dummy</x:v>
      </x:c>
      <x:c r="G17" s="20" t="str">
        <x:v>Map systems and installed applications to future CVE triage logic</x:v>
      </x:c>
      <x:c r="H17" s="22" t="str">
        <x:v>Development</x:v>
      </x:c>
      <x:c r="I17" s="22" t="str">
        <x:v>Security Engineering</x:v>
      </x:c>
      <x:c r="J17" s="22" t="str">
        <x:v>Internal</x:v>
      </x:c>
      <x:c r="K17" s="22" t="str">
        <x:v>High</x:v>
      </x:c>
      <x:c r="L17" s="20" t="str">
        <x:v>This workbook is placeholder data for testing</x:v>
      </x:c>
    </x:row>
    <x:row r="18" ht="36" customHeight="1">
      <x:c r="A18" s="22" t="n">
        <x:v>16</x:v>
      </x:c>
      <x:c r="B18" s="20" t="str">
        <x:v>NVD-CONN-01</x:v>
      </x:c>
      <x:c r="C18" s="20" t="str">
        <x:v>External API</x:v>
      </x:c>
      <x:c r="D18" s="20" t="str">
        <x:v>Internet service</x:v>
      </x:c>
      <x:c r="E18" s="20" t="str">
        <x:v>NVD CVE API</x:v>
      </x:c>
      <x:c r="F18" s="20" t="str">
        <x:v>2.0</x:v>
      </x:c>
      <x:c r="G18" s="20" t="str">
        <x:v>Retrieve CVE descriptions, CVSS metrics, CWE and references</x:v>
      </x:c>
      <x:c r="H18" s="22" t="str">
        <x:v>External Dependency</x:v>
      </x:c>
      <x:c r="I18" s="22" t="str">
        <x:v>Security Engineering</x:v>
      </x:c>
      <x:c r="J18" s="22" t="str">
        <x:v>Outbound Internet</x:v>
      </x:c>
      <x:c r="K18" s="22" t="str">
        <x:v>High</x:v>
      </x:c>
      <x:c r="L18" s="20" t="str">
        <x:v>Primary CVE source</x:v>
      </x:c>
    </x:row>
    <x:row r="19" ht="36" customHeight="1">
      <x:c r="A19" s="22" t="n">
        <x:v>17</x:v>
      </x:c>
      <x:c r="B19" s="20" t="str">
        <x:v>EPSS-CONN-01</x:v>
      </x:c>
      <x:c r="C19" s="20" t="str">
        <x:v>External API</x:v>
      </x:c>
      <x:c r="D19" s="20" t="str">
        <x:v>Internet service</x:v>
      </x:c>
      <x:c r="E19" s="20" t="str">
        <x:v>FIRST EPSS API</x:v>
      </x:c>
      <x:c r="F19" s="20" t="str">
        <x:v>v1</x:v>
      </x:c>
      <x:c r="G19" s="20" t="str">
        <x:v>Retrieve exploit prediction score and percentile</x:v>
      </x:c>
      <x:c r="H19" s="22" t="str">
        <x:v>External Dependency</x:v>
      </x:c>
      <x:c r="I19" s="22" t="str">
        <x:v>Security Engineering</x:v>
      </x:c>
      <x:c r="J19" s="22" t="str">
        <x:v>Outbound Internet</x:v>
      </x:c>
      <x:c r="K19" s="22" t="str">
        <x:v>Medium</x:v>
      </x:c>
      <x:c r="L19" s="20" t="str">
        <x:v>Exploit likelihood enrichment</x:v>
      </x:c>
    </x:row>
    <x:row r="20" ht="36" customHeight="1">
      <x:c r="A20" s="22" t="n">
        <x:v>18</x:v>
      </x:c>
      <x:c r="B20" s="20" t="str">
        <x:v>KEV-FEED-01</x:v>
      </x:c>
      <x:c r="C20" s="20" t="str">
        <x:v>External Feed</x:v>
      </x:c>
      <x:c r="D20" s="20" t="str">
        <x:v>Internet service</x:v>
      </x:c>
      <x:c r="E20" s="20" t="str">
        <x:v>CISA KEV JSON Feed</x:v>
      </x:c>
      <x:c r="F20" s="20" t="str">
        <x:v>Current feed</x:v>
      </x:c>
      <x:c r="G20" s="20" t="str">
        <x:v>Identify CVEs known to be exploited in the wild</x:v>
      </x:c>
      <x:c r="H20" s="22" t="str">
        <x:v>External Dependency</x:v>
      </x:c>
      <x:c r="I20" s="22" t="str">
        <x:v>Security Engineering</x:v>
      </x:c>
      <x:c r="J20" s="22" t="str">
        <x:v>Outbound Internet</x:v>
      </x:c>
      <x:c r="K20" s="22" t="str">
        <x:v>High</x:v>
      </x:c>
      <x:c r="L20" s="20" t="str">
        <x:v>Known exploited vulnerability source</x:v>
      </x:c>
    </x:row>
    <x:row r="21" ht="36" customHeight="1">
      <x:c r="A21" s="22" t="n">
        <x:v>19</x:v>
      </x:c>
      <x:c r="B21" s="20" t="str">
        <x:v>VULNRICH-CONN-01</x:v>
      </x:c>
      <x:c r="C21" s="20" t="str">
        <x:v>External Feed</x:v>
      </x:c>
      <x:c r="D21" s="20" t="str">
        <x:v>GitHub / CVE Services</x:v>
      </x:c>
      <x:c r="E21" s="20" t="str">
        <x:v>CISA Vulnrichment</x:v>
      </x:c>
      <x:c r="F21" s="20" t="str">
        <x:v>develop branch</x:v>
      </x:c>
      <x:c r="G21" s="20" t="str">
        <x:v>Retrieve SSVC decision points such as exploitation, automatable and technical impact</x:v>
      </x:c>
      <x:c r="H21" s="22" t="str">
        <x:v>External Dependency</x:v>
      </x:c>
      <x:c r="I21" s="22" t="str">
        <x:v>Security Engineering</x:v>
      </x:c>
      <x:c r="J21" s="22" t="str">
        <x:v>Outbound Internet</x:v>
      </x:c>
      <x:c r="K21" s="22" t="str">
        <x:v>High</x:v>
      </x:c>
      <x:c r="L21" s="20" t="str">
        <x:v>SSVC-style enrichment source</x:v>
      </x:c>
    </x:row>
    <x:row r="22" ht="36" customHeight="1">
      <x:c r="A22" s="22" t="n">
        <x:v>20</x:v>
      </x:c>
      <x:c r="B22" s="20" t="str">
        <x:v>UBU-TEST-01</x:v>
      </x:c>
      <x:c r="C22" s="20" t="str">
        <x:v>Server</x:v>
      </x:c>
      <x:c r="D22" s="20" t="str">
        <x:v>Ubuntu 22.04 LTS</x:v>
      </x:c>
      <x:c r="E22" s="20" t="str">
        <x:v>OpenSSH Server</x:v>
      </x:c>
      <x:c r="F22" s="20" t="str">
        <x:v>8.9p1</x:v>
      </x:c>
      <x:c r="G22" s="20" t="str">
        <x:v>Remote administration for test host</x:v>
      </x:c>
      <x:c r="H22" s="22" t="str">
        <x:v>Test</x:v>
      </x:c>
      <x:c r="I22" s="22" t="str">
        <x:v>Infrastructure Team</x:v>
      </x:c>
      <x:c r="J22" s="22" t="str">
        <x:v>Internal</x:v>
      </x:c>
      <x:c r="K22" s="22" t="str">
        <x:v>Medium</x:v>
      </x:c>
      <x:c r="L22" s="20" t="str">
        <x:v>Dummy Linux server for asset-matching tests</x:v>
      </x:c>
    </x:row>
    <x:row r="23" ht="36" customHeight="1">
      <x:c r="A23" s="22" t="n">
        <x:v>21</x:v>
      </x:c>
      <x:c r="B23" s="20" t="str">
        <x:v>UBU-TEST-01</x:v>
      </x:c>
      <x:c r="C23" s="20" t="str">
        <x:v>Server</x:v>
      </x:c>
      <x:c r="D23" s="20" t="str">
        <x:v>Ubuntu 22.04 LTS</x:v>
      </x:c>
      <x:c r="E23" s="20" t="str">
        <x:v>Nginx</x:v>
      </x:c>
      <x:c r="F23" s="20" t="str">
        <x:v>1.24.x</x:v>
      </x:c>
      <x:c r="G23" s="20" t="str">
        <x:v>Host a small test web service</x:v>
      </x:c>
      <x:c r="H23" s="22" t="str">
        <x:v>Test</x:v>
      </x:c>
      <x:c r="I23" s="22" t="str">
        <x:v>Infrastructure Team</x:v>
      </x:c>
      <x:c r="J23" s="22" t="str">
        <x:v>Internal</x:v>
      </x:c>
      <x:c r="K23" s="22" t="str">
        <x:v>Medium</x:v>
      </x:c>
      <x:c r="L23" s="20" t="str">
        <x:v>Useful for web server CVE matching tests</x:v>
      </x:c>
    </x:row>
    <x:row r="24" ht="36" customHeight="1">
      <x:c r="A24" s="22" t="n">
        <x:v>22</x:v>
      </x:c>
      <x:c r="B24" s="20" t="str">
        <x:v>UBU-TEST-01</x:v>
      </x:c>
      <x:c r="C24" s="20" t="str">
        <x:v>Server</x:v>
      </x:c>
      <x:c r="D24" s="20" t="str">
        <x:v>Ubuntu 22.04 LTS</x:v>
      </x:c>
      <x:c r="E24" s="20" t="str">
        <x:v>PostgreSQL</x:v>
      </x:c>
      <x:c r="F24" s="20" t="str">
        <x:v>16.x</x:v>
      </x:c>
      <x:c r="G24" s="20" t="str">
        <x:v>Store sample application data</x:v>
      </x:c>
      <x:c r="H24" s="22" t="str">
        <x:v>Test</x:v>
      </x:c>
      <x:c r="I24" s="22" t="str">
        <x:v>Infrastructure Team</x:v>
      </x:c>
      <x:c r="J24" s="22" t="str">
        <x:v>Internal</x:v>
      </x:c>
      <x:c r="K24" s="22" t="str">
        <x:v>High</x:v>
      </x:c>
      <x:c r="L24" s="20" t="str">
        <x:v>Dummy database service</x:v>
      </x:c>
    </x:row>
    <x:row r="25" ht="36" customHeight="1">
      <x:c r="A25" s="22" t="n">
        <x:v>23</x:v>
      </x:c>
      <x:c r="B25" s="20" t="str">
        <x:v>WIN-CLIENT-01</x:v>
      </x:c>
      <x:c r="C25" s="20" t="str">
        <x:v>Workstation</x:v>
      </x:c>
      <x:c r="D25" s="20" t="str">
        <x:v>Windows 11 Pro</x:v>
      </x:c>
      <x:c r="E25" s="20" t="str">
        <x:v>Microsoft Edge</x:v>
      </x:c>
      <x:c r="F25" s="20" t="str">
        <x:v>Current stable</x:v>
      </x:c>
      <x:c r="G25" s="20" t="str">
        <x:v>Cross-browser dashboard validation</x:v>
      </x:c>
      <x:c r="H25" s="22" t="str">
        <x:v>Test</x:v>
      </x:c>
      <x:c r="I25" s="22" t="str">
        <x:v>Application Team</x:v>
      </x:c>
      <x:c r="J25" s="22" t="str">
        <x:v>Internal</x:v>
      </x:c>
      <x:c r="K25" s="22" t="str">
        <x:v>Medium</x:v>
      </x:c>
      <x:c r="L25" s="20" t="str">
        <x:v>Windows client compatibility test</x:v>
      </x:c>
    </x:row>
    <x:row r="26" ht="36" customHeight="1">
      <x:c r="A26" s="22" t="n">
        <x:v>24</x:v>
      </x:c>
      <x:c r="B26" s="20" t="str">
        <x:v>WIN-CLIENT-01</x:v>
      </x:c>
      <x:c r="C26" s="20" t="str">
        <x:v>Workstation</x:v>
      </x:c>
      <x:c r="D26" s="20" t="str">
        <x:v>Windows 11 Pro</x:v>
      </x:c>
      <x:c r="E26" s="20" t="str">
        <x:v>Microsoft Office</x:v>
      </x:c>
      <x:c r="F26" s="20" t="str">
        <x:v>Microsoft 365</x:v>
      </x:c>
      <x:c r="G26" s="20" t="str">
        <x:v>Open exported reports and spreadsheets</x:v>
      </x:c>
      <x:c r="H26" s="22" t="str">
        <x:v>Test</x:v>
      </x:c>
      <x:c r="I26" s="22" t="str">
        <x:v>Application Team</x:v>
      </x:c>
      <x:c r="J26" s="22" t="str">
        <x:v>Internal</x:v>
      </x:c>
      <x:c r="K26" s="22" t="str">
        <x:v>Low</x:v>
      </x:c>
      <x:c r="L26" s="20" t="str">
        <x:v>Dummy productivity software</x:v>
      </x:c>
    </x:row>
    <x:row r="27" ht="36" customHeight="1">
      <x:c r="A27" s="22" t="n">
        <x:v>25</x:v>
      </x:c>
      <x:c r="B27" s="20" t="str">
        <x:v>SEC-TOOLS-01</x:v>
      </x:c>
      <x:c r="C27" s="20" t="str">
        <x:v>Workstation</x:v>
      </x:c>
      <x:c r="D27" s="20" t="str">
        <x:v>Ubuntu 24.04 LTS</x:v>
      </x:c>
      <x:c r="E27" s="20" t="str">
        <x:v>Wireshark</x:v>
      </x:c>
      <x:c r="F27" s="20" t="str">
        <x:v>4.2.x</x:v>
      </x:c>
      <x:c r="G27" s="20" t="str">
        <x:v>Capture and inspect HTTP/API traffic during testing</x:v>
      </x:c>
      <x:c r="H27" s="22" t="str">
        <x:v>Security Testing</x:v>
      </x:c>
      <x:c r="I27" s="22" t="str">
        <x:v>Security Engineering</x:v>
      </x:c>
      <x:c r="J27" s="22" t="str">
        <x:v>Internal</x:v>
      </x:c>
      <x:c r="K27" s="22" t="str">
        <x:v>Medium</x:v>
      </x:c>
      <x:c r="L27" s="20" t="str">
        <x:v>Network troubleshooting</x:v>
      </x:c>
    </x:row>
    <x:row r="28" ht="36" customHeight="1">
      <x:c r="A28" s="22" t="n">
        <x:v>26</x:v>
      </x:c>
      <x:c r="B28" s="20" t="str">
        <x:v>SEC-TOOLS-01</x:v>
      </x:c>
      <x:c r="C28" s="20" t="str">
        <x:v>Workstation</x:v>
      </x:c>
      <x:c r="D28" s="20" t="str">
        <x:v>Ubuntu 24.04 LTS</x:v>
      </x:c>
      <x:c r="E28" s="20" t="str">
        <x:v>Nmap</x:v>
      </x:c>
      <x:c r="F28" s="20" t="str">
        <x:v>7.94</x:v>
      </x:c>
      <x:c r="G28" s="20" t="str">
        <x:v>Discover local test services and open ports</x:v>
      </x:c>
      <x:c r="H28" s="22" t="str">
        <x:v>Security Testing</x:v>
      </x:c>
      <x:c r="I28" s="22" t="str">
        <x:v>Security Engineering</x:v>
      </x:c>
      <x:c r="J28" s="22" t="str">
        <x:v>Internal</x:v>
      </x:c>
      <x:c r="K28" s="22" t="str">
        <x:v>Medium</x:v>
      </x:c>
      <x:c r="L28" s="20" t="str">
        <x:v>Reconnaissance tool for authorized lab use</x:v>
      </x:c>
    </x:row>
    <x:row r="29" ht="36" customHeight="1">
      <x:c r="A29" s="22" t="n">
        <x:v>27</x:v>
      </x:c>
      <x:c r="B29" s="20" t="str">
        <x:v>SEC-TOOLS-01</x:v>
      </x:c>
      <x:c r="C29" s="20" t="str">
        <x:v>Workstation</x:v>
      </x:c>
      <x:c r="D29" s="20" t="str">
        <x:v>Ubuntu 24.04 LTS</x:v>
      </x:c>
      <x:c r="E29" s="20" t="str">
        <x:v>OWASP ZAP</x:v>
      </x:c>
      <x:c r="F29" s="20" t="str">
        <x:v>2.15.x</x:v>
      </x:c>
      <x:c r="G29" s="20" t="str">
        <x:v>Perform authorized web application security testing</x:v>
      </x:c>
      <x:c r="H29" s="22" t="str">
        <x:v>Security Testing</x:v>
      </x:c>
      <x:c r="I29" s="22" t="str">
        <x:v>Security Engineering</x:v>
      </x:c>
      <x:c r="J29" s="22" t="str">
        <x:v>Internal</x:v>
      </x:c>
      <x:c r="K29" s="22" t="str">
        <x:v>Medium</x:v>
      </x:c>
      <x:c r="L29" s="20" t="str">
        <x:v>DAST tool for lab app testing</x:v>
      </x:c>
    </x:row>
    <x:row r="30" ht="36" customHeight="1">
      <x:c r="A30" s="22" t="n">
        <x:v>28</x:v>
      </x:c>
      <x:c r="B30" s="20" t="str">
        <x:v>SEC-TOOLS-01</x:v>
      </x:c>
      <x:c r="C30" s="20" t="str">
        <x:v>Workstation</x:v>
      </x:c>
      <x:c r="D30" s="20" t="str">
        <x:v>Ubuntu 24.04 LTS</x:v>
      </x:c>
      <x:c r="E30" s="20" t="str">
        <x:v>Trivy</x:v>
      </x:c>
      <x:c r="F30" s="20" t="str">
        <x:v>0.58.x</x:v>
      </x:c>
      <x:c r="G30" s="20" t="str">
        <x:v>Scan container images and dependencies for vulnerabilities</x:v>
      </x:c>
      <x:c r="H30" s="22" t="str">
        <x:v>Security Testing</x:v>
      </x:c>
      <x:c r="I30" s="22" t="str">
        <x:v>Security Engineering</x:v>
      </x:c>
      <x:c r="J30" s="22" t="str">
        <x:v>Internal</x:v>
      </x:c>
      <x:c r="K30" s="22" t="str">
        <x:v>High</x:v>
      </x:c>
      <x:c r="L30" s="20" t="str">
        <x:v>Container vulnerability scanner</x:v>
      </x:c>
    </x:row>
    <x:row r="31" ht="36" customHeight="1">
      <x:c r="A31" s="22" t="n">
        <x:v>29</x:v>
      </x:c>
      <x:c r="B31" s="20" t="str">
        <x:v>SEC-TOOLS-01</x:v>
      </x:c>
      <x:c r="C31" s="20" t="str">
        <x:v>Workstation</x:v>
      </x:c>
      <x:c r="D31" s="20" t="str">
        <x:v>Ubuntu 24.04 LTS</x:v>
      </x:c>
      <x:c r="E31" s="20" t="str">
        <x:v>Grype</x:v>
      </x:c>
      <x:c r="F31" s="20" t="str">
        <x:v>0.84.x</x:v>
      </x:c>
      <x:c r="G31" s="20" t="str">
        <x:v>Alternative software bill of materials and vulnerability scanning</x:v>
      </x:c>
      <x:c r="H31" s="22" t="str">
        <x:v>Security Testing</x:v>
      </x:c>
      <x:c r="I31" s="22" t="str">
        <x:v>Security Engineering</x:v>
      </x:c>
      <x:c r="J31" s="22" t="str">
        <x:v>Internal</x:v>
      </x:c>
      <x:c r="K31" s="22" t="str">
        <x:v>Medium</x:v>
      </x:c>
      <x:c r="L31" s="20" t="str">
        <x:v>Scanner comparison test</x:v>
      </x:c>
    </x:row>
    <x:row r="32" ht="36" customHeight="1">
      <x:c r="A32" s="22" t="n">
        <x:v>30</x:v>
      </x:c>
      <x:c r="B32" s="20" t="str">
        <x:v>GITHUB-REPO-01</x:v>
      </x:c>
      <x:c r="C32" s="20" t="str">
        <x:v>SaaS</x:v>
      </x:c>
      <x:c r="D32" s="20" t="str">
        <x:v>GitHub Cloud</x:v>
      </x:c>
      <x:c r="E32" s="20" t="str">
        <x:v>GitHub Repository</x:v>
      </x:c>
      <x:c r="F32" s="20" t="str">
        <x:v>Cloud</x:v>
      </x:c>
      <x:c r="G32" s="20" t="str">
        <x:v>Source control for cveraptor codebase</x:v>
      </x:c>
      <x:c r="H32" s="22" t="str">
        <x:v>Development</x:v>
      </x:c>
      <x:c r="I32" s="22" t="str">
        <x:v>Application Team</x:v>
      </x:c>
      <x:c r="J32" s="22" t="str">
        <x:v>Internet-facing SaaS</x:v>
      </x:c>
      <x:c r="K32" s="22" t="str">
        <x:v>High</x:v>
      </x:c>
      <x:c r="L32" s="20" t="str">
        <x:v>Repository access should be protected</x:v>
      </x:c>
    </x:row>
    <x:row r="33" ht="36" customHeight="1">
      <x:c r="A33" s="22" t="n">
        <x:v>31</x:v>
      </x:c>
      <x:c r="B33" s="20" t="str">
        <x:v>CI-RUNNER-01</x:v>
      </x:c>
      <x:c r="C33" s="20" t="str">
        <x:v>CI Runner</x:v>
      </x:c>
      <x:c r="D33" s="20" t="str">
        <x:v>Ubuntu 24.04 hosted runner</x:v>
      </x:c>
      <x:c r="E33" s="20" t="str">
        <x:v>GitHub Actions Runner</x:v>
      </x:c>
      <x:c r="F33" s="20" t="str">
        <x:v>2.x</x:v>
      </x:c>
      <x:c r="G33" s="20" t="str">
        <x:v>Run build, lint and future test automation</x:v>
      </x:c>
      <x:c r="H33" s="22" t="str">
        <x:v>CI/CD</x:v>
      </x:c>
      <x:c r="I33" s="22" t="str">
        <x:v>Application Team</x:v>
      </x:c>
      <x:c r="J33" s="22" t="str">
        <x:v>Outbound Internet</x:v>
      </x:c>
      <x:c r="K33" s="22" t="str">
        <x:v>High</x:v>
      </x:c>
      <x:c r="L33" s="20" t="str">
        <x:v>Dummy CI/CD asset</x:v>
      </x:c>
    </x:row>
    <x:row r="34" ht="36" customHeight="1">
      <x:c r="A34" s="22" t="n">
        <x:v>32</x:v>
      </x:c>
      <x:c r="B34" s="20" t="str">
        <x:v>BACKUP-STORE-01</x:v>
      </x:c>
      <x:c r="C34" s="20" t="str">
        <x:v>Storage</x:v>
      </x:c>
      <x:c r="D34" s="20" t="str">
        <x:v>Ubuntu 24.04 LTS</x:v>
      </x:c>
      <x:c r="E34" s="20" t="str">
        <x:v>BorgBackup</x:v>
      </x:c>
      <x:c r="F34" s="20" t="str">
        <x:v>1.2.x</x:v>
      </x:c>
      <x:c r="G34" s="20" t="str">
        <x:v>Backup project configuration and exported reports</x:v>
      </x:c>
      <x:c r="H34" s="22" t="str">
        <x:v>Operations</x:v>
      </x:c>
      <x:c r="I34" s="22" t="str">
        <x:v>Platform Team</x:v>
      </x:c>
      <x:c r="J34" s="22" t="str">
        <x:v>Internal</x:v>
      </x:c>
      <x:c r="K34" s="22" t="str">
        <x:v>Medium</x:v>
      </x:c>
      <x:c r="L34" s="20" t="str">
        <x:v>Optional future operational asset</x:v>
      </x:c>
    </x:row>
  </x:sheetData>
  <x:mergeCells>
    <x:mergeCell ref="A1:L1"/>
  </x:mergeCells>
  <x:conditionalFormatting sqref="K3:K34">
    <x:cfRule type="expression" dxfId="0" priority="1">
      <x:formula>$K3="High"</x:formula>
    </x:cfRule>
    <x:cfRule type="expression" dxfId="1" priority="2">
      <x:formula>$K3="Medium"</x:formula>
    </x:cfRule>
    <x:cfRule type="expression" dxfId="2" priority="3">
      <x:formula>$K3="Low"</x:formula>
    </x:cfRule>
  </x:conditionalFormatting>
  <x:conditionalFormatting sqref="J3:J34">
    <x:cfRule type="expression" dxfId="3" priority="4">
      <x:formula>ISNUMBER(SEARCH("Internet",$J3))</x:formula>
    </x:cfRule>
  </x:conditionalFormatting>
  <x:dataValidations count="3">
    <x:dataValidation type="list" sqref="H3:H34">
      <x:formula1>"Development,Test,Security Testing,CI/CD,Operations,External Dependency"</x:formula1>
    </x:dataValidation>
    <x:dataValidation type="list" sqref="J3:J34">
      <x:formula1>"Internal,Outbound Internet,Internet-facing SaaS"</x:formula1>
    </x:dataValidation>
    <x:dataValidation type="list" sqref="K3:K34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174492102b473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4" hidden="0" customWidth="1"/>
    <x:col min="4" max="4" width="42" hidden="0" customWidth="1"/>
  </x:cols>
  <x:sheetData>
    <x:row r="1" ht="28" customHeight="1">
      <x:c r="A1" s="5" t="str">
        <x:v>Field Guide</x:v>
      </x:c>
      <x:c r="B1" s="5"/>
      <x:c r="C1" s="5"/>
      <x:c r="D1" s="5"/>
    </x:row>
    <x:row r="3" ht="26" customHeight="1">
      <x:c r="A3" s="14" t="str">
        <x:v>Field</x:v>
      </x:c>
      <x:c r="B3" s="14" t="str">
        <x:v>Meaning</x:v>
      </x:c>
      <x:c r="C3" s="14" t="str">
        <x:v>Example</x:v>
      </x:c>
      <x:c r="D3" s="14" t="str">
        <x:v>Usage in CVE triage</x:v>
      </x:c>
    </x:row>
    <x:row r="4" ht="40" customHeight="1">
      <x:c r="A4" s="20" t="str">
        <x:v>ID</x:v>
      </x:c>
      <x:c r="B4" s="20" t="str">
        <x:v>Simple row identifier</x:v>
      </x:c>
      <x:c r="C4" s="20" t="str">
        <x:v>1, 2, 3</x:v>
      </x:c>
      <x:c r="D4" s="20" t="str">
        <x:v>Use as a stable key when testing imports</x:v>
      </x:c>
    </x:row>
    <x:row r="5" ht="40" customHeight="1">
      <x:c r="A5" s="20" t="str">
        <x:v>Asset Name</x:v>
      </x:c>
      <x:c r="B5" s="20" t="str">
        <x:v>Logical host, container, API or service name</x:v>
      </x:c>
      <x:c r="C5" s="20" t="str">
        <x:v>CVERAPTOR-BE-01</x:v>
      </x:c>
      <x:c r="D5" s="20" t="str">
        <x:v>Maps software records to a system boundary</x:v>
      </x:c>
    </x:row>
    <x:row r="6" ht="40" customHeight="1">
      <x:c r="A6" s="20" t="str">
        <x:v>Platform / OS</x:v>
      </x:c>
      <x:c r="B6" s="20" t="str">
        <x:v>Operating system, container base image, SaaS platform or external service</x:v>
      </x:c>
      <x:c r="C6" s="20" t="str">
        <x:v>Ubuntu 24.04 LTS</x:v>
      </x:c>
      <x:c r="D6" s="20" t="str">
        <x:v>Can be matched against OS-level CVEs</x:v>
      </x:c>
    </x:row>
    <x:row r="7" ht="40" customHeight="1">
      <x:c r="A7" s="20" t="str">
        <x:v>Installed Application Name</x:v>
      </x:c>
      <x:c r="B7" s="20" t="str">
        <x:v>Software, library, scanner, feed or platform component</x:v>
      </x:c>
      <x:c r="C7" s="20" t="str">
        <x:v>FastAPI</x:v>
      </x:c>
      <x:c r="D7" s="20" t="str">
        <x:v>Primary field for vendor/product CVE matching</x:v>
      </x:c>
    </x:row>
    <x:row r="8" ht="40" customHeight="1">
      <x:c r="A8" s="20" t="str">
        <x:v>Version</x:v>
      </x:c>
      <x:c r="B8" s="20" t="str">
        <x:v>Installed or assumed version</x:v>
      </x:c>
      <x:c r="C8" s="20" t="str">
        <x:v>19.2.5</x:v>
      </x:c>
      <x:c r="D8" s="20" t="str">
        <x:v>Used to compare against vulnerable version ranges</x:v>
      </x:c>
    </x:row>
    <x:row r="9" ht="40" customHeight="1">
      <x:c r="A9" s="20" t="str">
        <x:v>Purpose</x:v>
      </x:c>
      <x:c r="B9" s="20" t="str">
        <x:v>Why the application exists on the asset</x:v>
      </x:c>
      <x:c r="C9" s="20" t="str">
        <x:v>Render dashboard UI</x:v>
      </x:c>
      <x:c r="D9" s="20" t="str">
        <x:v>Helps prioritize whether affected software is operationally important</x:v>
      </x:c>
    </x:row>
    <x:row r="10" ht="40" customHeight="1">
      <x:c r="A10" s="20" t="str">
        <x:v>Exposure</x:v>
      </x:c>
      <x:c r="B10" s="20" t="str">
        <x:v>Whether the asset is internal-only or connects to Internet/SaaS services</x:v>
      </x:c>
      <x:c r="C10" s="20" t="str">
        <x:v>Outbound Internet</x:v>
      </x:c>
      <x:c r="D10" s="20" t="str">
        <x:v>Helps future risk weighting</x:v>
      </x:c>
    </x:row>
    <x:row r="11" ht="40" customHeight="1">
      <x:c r="A11" s="20" t="str">
        <x:v>Criticality</x:v>
      </x:c>
      <x:c r="B11" s="20" t="str">
        <x:v>Business/security importance of the record</x:v>
      </x:c>
      <x:c r="C11" s="20" t="str">
        <x:v>High</x:v>
      </x:c>
      <x:c r="D11" s="20" t="str">
        <x:v>Helps future patch/monitor/defer decisions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c7bcd5fd4d374b1b"/>
  </x:tableParts>
</x:worksheet>
</file>